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2025\CYOP\"/>
    </mc:Choice>
  </mc:AlternateContent>
  <xr:revisionPtr revIDLastSave="0" documentId="8_{7513C7BF-3B85-4E81-A459-D54B8650CCD4}" xr6:coauthVersionLast="47" xr6:coauthVersionMax="47" xr10:uidLastSave="{00000000-0000-0000-0000-000000000000}"/>
  <bookViews>
    <workbookView xWindow="-21720" yWindow="1170" windowWidth="21840" windowHeight="13140" xr2:uid="{7CC1F6E1-0BDD-4B48-9A99-577A0F9283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" l="1"/>
  <c r="G15" i="1"/>
  <c r="F15" i="1"/>
  <c r="D12" i="1"/>
  <c r="E6" i="1"/>
  <c r="E8" i="1" s="1"/>
  <c r="E10" i="1" s="1"/>
  <c r="E12" i="1" l="1"/>
  <c r="E11" i="1"/>
</calcChain>
</file>

<file path=xl/sharedStrings.xml><?xml version="1.0" encoding="utf-8"?>
<sst xmlns="http://schemas.openxmlformats.org/spreadsheetml/2006/main" count="20" uniqueCount="15">
  <si>
    <t>weight</t>
  </si>
  <si>
    <t>total caolories required</t>
  </si>
  <si>
    <t>weight loss goal calories</t>
  </si>
  <si>
    <t>Target loss in 1 month</t>
  </si>
  <si>
    <t>From carbs</t>
  </si>
  <si>
    <t>From Protein</t>
  </si>
  <si>
    <t>From Fat</t>
  </si>
  <si>
    <t>Breakfast</t>
  </si>
  <si>
    <t>Steel cut oats</t>
  </si>
  <si>
    <t>Eggs</t>
  </si>
  <si>
    <t>fats</t>
  </si>
  <si>
    <t>from carbs`</t>
  </si>
  <si>
    <t>protein</t>
  </si>
  <si>
    <t>&lt; To be calculated by the system</t>
  </si>
  <si>
    <t>&lt; Input from the patient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</si>
</sst>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70CF0-9247-41DC-87CF-EE5203CE7739}">
  <dimension ref="C3:I16"/>
  <sheetViews>
    <sheetView tabSelected="1" workbookViewId="0">
      <selection activeCell="J10" sqref="J10"/>
    </sheetView>
  </sheetViews>
  <sheetFormatPr defaultRowHeight="14.4" x14ac:dyDescent="0.3"/>
  <cols>
    <col min="3" max="4" width="22.5546875" customWidth="1"/>
    <col min="5" max="5" width="18.21875" style="1" customWidth="1"/>
    <col min="7" max="7" width="14.6640625" customWidth="1"/>
  </cols>
  <sheetData>
    <row r="3" spans="3:9" x14ac:dyDescent="0.3">
      <c r="E3" s="1" t="s">
        <v>0</v>
      </c>
      <c r="F3">
        <v>78</v>
      </c>
      <c r="G3" t="s">
        <v>14</v>
      </c>
    </row>
    <row r="4" spans="3:9" x14ac:dyDescent="0.3">
      <c r="E4" s="1" t="s">
        <v>3</v>
      </c>
      <c r="F4">
        <v>0</v>
      </c>
      <c r="G4" t="s">
        <v>14</v>
      </c>
    </row>
    <row r="6" spans="3:9" x14ac:dyDescent="0.3">
      <c r="C6" t="s">
        <v>1</v>
      </c>
      <c r="E6" s="1">
        <f>F3*2.2*12</f>
        <v>2059.2000000000003</v>
      </c>
      <c r="F6" t="s">
        <v>13</v>
      </c>
    </row>
    <row r="8" spans="3:9" x14ac:dyDescent="0.3">
      <c r="C8" t="s">
        <v>2</v>
      </c>
      <c r="E8" s="1">
        <f>E6-(F4*7700/30)</f>
        <v>2059.2000000000003</v>
      </c>
      <c r="F8" t="s">
        <v>13</v>
      </c>
    </row>
    <row r="10" spans="3:9" x14ac:dyDescent="0.3">
      <c r="C10" t="s">
        <v>4</v>
      </c>
      <c r="D10">
        <v>45</v>
      </c>
      <c r="E10" s="1">
        <f>E8*D10%</f>
        <v>926.6400000000001</v>
      </c>
      <c r="F10" t="s">
        <v>13</v>
      </c>
    </row>
    <row r="11" spans="3:9" x14ac:dyDescent="0.3">
      <c r="C11" t="s">
        <v>5</v>
      </c>
      <c r="D11">
        <v>30</v>
      </c>
      <c r="E11" s="1">
        <f>E8*D11%</f>
        <v>617.7600000000001</v>
      </c>
      <c r="F11" t="s">
        <v>13</v>
      </c>
    </row>
    <row r="12" spans="3:9" x14ac:dyDescent="0.3">
      <c r="C12" t="s">
        <v>6</v>
      </c>
      <c r="D12">
        <f>100-(D10+D11)</f>
        <v>25</v>
      </c>
      <c r="E12" s="1">
        <f>E8*D12%</f>
        <v>514.80000000000007</v>
      </c>
      <c r="F12" t="s">
        <v>13</v>
      </c>
    </row>
    <row r="14" spans="3:9" x14ac:dyDescent="0.3">
      <c r="G14" t="s">
        <v>11</v>
      </c>
      <c r="H14" t="s">
        <v>12</v>
      </c>
      <c r="I14" t="s">
        <v>10</v>
      </c>
    </row>
    <row r="15" spans="3:9" x14ac:dyDescent="0.3">
      <c r="C15" t="s">
        <v>7</v>
      </c>
      <c r="D15" t="s">
        <v>8</v>
      </c>
      <c r="E15" s="1">
        <v>60</v>
      </c>
      <c r="F15">
        <f>E15*3.89</f>
        <v>233.4</v>
      </c>
      <c r="G15">
        <f>E15*0.66*4</f>
        <v>158.4</v>
      </c>
      <c r="H15">
        <f>E15*0.17*4</f>
        <v>40.800000000000004</v>
      </c>
    </row>
    <row r="16" spans="3:9" x14ac:dyDescent="0.3">
      <c r="D1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MadhukarGangadi</dc:creator>
  <cp:lastModifiedBy>tanushree chaurasia</cp:lastModifiedBy>
  <dcterms:created xsi:type="dcterms:W3CDTF">2026-01-10T09:37:41Z</dcterms:created>
  <dcterms:modified xsi:type="dcterms:W3CDTF">2026-01-14T13:48:00Z</dcterms:modified>
</cp:coreProperties>
</file>